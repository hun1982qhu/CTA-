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57" windowHeight="10680"/>
  </bookViews>
  <sheets>
    <sheet name="价差计算示例" sheetId="1" r:id="rId1"/>
    <sheet name="Sheet3" sheetId="3" r:id="rId2"/>
  </sheets>
  <calcPr calcId="144525"/>
</workbook>
</file>

<file path=xl/sharedStrings.xml><?xml version="1.0" encoding="utf-8"?>
<sst xmlns="http://schemas.openxmlformats.org/spreadsheetml/2006/main" count="8" uniqueCount="8">
  <si>
    <t>IF2006</t>
  </si>
  <si>
    <t>价差</t>
  </si>
  <si>
    <t>ASK</t>
  </si>
  <si>
    <t>BID</t>
  </si>
  <si>
    <t>价格乘数</t>
  </si>
  <si>
    <t>持仓</t>
  </si>
  <si>
    <t>交易乘数</t>
  </si>
  <si>
    <t>对应价差持仓</t>
  </si>
</sst>
</file>

<file path=xl/styles.xml><?xml version="1.0" encoding="utf-8"?>
<styleSheet xmlns="http://schemas.openxmlformats.org/spreadsheetml/2006/main">
  <numFmts count="6">
    <numFmt numFmtId="176" formatCode="#,##0_ "/>
    <numFmt numFmtId="41" formatCode="_ * #,##0_ ;_ * \-#,##0_ ;_ * &quot;-&quot;_ ;_ @_ "/>
    <numFmt numFmtId="177" formatCode="#,##0.00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0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6" fillId="11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1" fillId="22" borderId="6" applyNumberFormat="0" applyAlignment="0" applyProtection="0">
      <alignment vertical="center"/>
    </xf>
    <xf numFmtId="0" fontId="16" fillId="22" borderId="4" applyNumberFormat="0" applyAlignment="0" applyProtection="0">
      <alignment vertical="center"/>
    </xf>
    <xf numFmtId="0" fontId="5" fillId="10" borderId="3" applyNumberFormat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0" fontId="0" fillId="0" borderId="1" xfId="0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436880</xdr:colOff>
      <xdr:row>1</xdr:row>
      <xdr:rowOff>44450</xdr:rowOff>
    </xdr:from>
    <xdr:to>
      <xdr:col>10</xdr:col>
      <xdr:colOff>417830</xdr:colOff>
      <xdr:row>11</xdr:row>
      <xdr:rowOff>96520</xdr:rowOff>
    </xdr:to>
    <xdr:pic>
      <xdr:nvPicPr>
        <xdr:cNvPr id="2" name="图片 1" descr="SharedScreenshot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790315" y="215900"/>
          <a:ext cx="3855720" cy="17665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9"/>
  <sheetViews>
    <sheetView tabSelected="1" zoomScale="220" zoomScaleNormal="220" workbookViewId="0">
      <selection activeCell="D12" sqref="D12"/>
    </sheetView>
  </sheetViews>
  <sheetFormatPr defaultColWidth="9" defaultRowHeight="13.5" outlineLevelCol="3"/>
  <cols>
    <col min="1" max="1" width="13.4336283185841" customWidth="1"/>
    <col min="2" max="2" width="11.5044247787611"/>
    <col min="3" max="3" width="12.7964601769912"/>
  </cols>
  <sheetData>
    <row r="2" spans="1:4">
      <c r="A2" s="1"/>
      <c r="B2" s="1" t="s">
        <v>0</v>
      </c>
      <c r="C2" s="1">
        <v>510300</v>
      </c>
      <c r="D2" s="1" t="s">
        <v>1</v>
      </c>
    </row>
    <row r="3" spans="1:4">
      <c r="A3" s="1" t="s">
        <v>2</v>
      </c>
      <c r="B3" s="2">
        <v>3998.2</v>
      </c>
      <c r="C3" s="2">
        <v>4.015</v>
      </c>
      <c r="D3" s="1">
        <f>C3*$C$5-ABS(B4*B5)</f>
        <v>16.9999999999995</v>
      </c>
    </row>
    <row r="4" spans="1:4">
      <c r="A4" s="1" t="s">
        <v>3</v>
      </c>
      <c r="B4" s="2">
        <v>3998</v>
      </c>
      <c r="C4" s="2">
        <v>4.011</v>
      </c>
      <c r="D4" s="1">
        <f>C4*C5-ABS(B3*B5)</f>
        <v>12.8000000000002</v>
      </c>
    </row>
    <row r="5" spans="1:4">
      <c r="A5" s="1" t="s">
        <v>4</v>
      </c>
      <c r="B5" s="3">
        <v>-1</v>
      </c>
      <c r="C5" s="3">
        <v>1000</v>
      </c>
      <c r="D5" s="1"/>
    </row>
    <row r="7" spans="1:4">
      <c r="A7" s="4" t="s">
        <v>5</v>
      </c>
      <c r="B7" s="5">
        <v>3</v>
      </c>
      <c r="C7" s="6">
        <v>-1200000</v>
      </c>
      <c r="D7" s="6"/>
    </row>
    <row r="8" spans="1:4">
      <c r="A8" s="7" t="s">
        <v>6</v>
      </c>
      <c r="B8" s="5">
        <v>-1</v>
      </c>
      <c r="C8" s="6">
        <v>300000</v>
      </c>
      <c r="D8" s="6"/>
    </row>
    <row r="9" spans="1:4">
      <c r="A9" s="7" t="s">
        <v>7</v>
      </c>
      <c r="B9" s="7">
        <f>B7/B8</f>
        <v>-3</v>
      </c>
      <c r="C9" s="7">
        <f>C7/C8</f>
        <v>-4</v>
      </c>
      <c r="D9" s="7">
        <v>-3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28" sqref="G28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价差计算示例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黄柠</dc:creator>
  <cp:lastModifiedBy>HN</cp:lastModifiedBy>
  <dcterms:created xsi:type="dcterms:W3CDTF">2021-08-17T00:57:00Z</dcterms:created>
  <dcterms:modified xsi:type="dcterms:W3CDTF">2021-08-18T11:12:05Z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E0E123AC3D024C2DB1F8C3E62E58139E</vt:lpwstr>
  </property>
  <property fmtid="{D5CDD505-2E9C-101B-9397-08002B2CF9AE}" pid="3" name="KSOProductBuildVer">
    <vt:lpwstr>2052-11.1.0.10700</vt:lpwstr>
  </property>
</Properties>
</file>